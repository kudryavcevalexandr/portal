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Классификатор\29.12.2025\"/>
    </mc:Choice>
  </mc:AlternateContent>
  <xr:revisionPtr revIDLastSave="0" documentId="13_ncr:1_{A8F05AD4-B512-47F9-A93A-5279872C67C4}" xr6:coauthVersionLast="36" xr6:coauthVersionMax="36" xr10:uidLastSave="{00000000-0000-0000-0000-000000000000}"/>
  <bookViews>
    <workbookView xWindow="0" yWindow="0" windowWidth="28800" windowHeight="12000" xr2:uid="{00000000-000D-0000-FFFF-FFFF00000000}"/>
  </bookViews>
  <sheets>
    <sheet name="Каталог ВОМа" sheetId="2" r:id="rId1"/>
  </sheets>
  <definedNames>
    <definedName name="_xlnm._FilterDatabase" localSheetId="0" hidden="1">'Каталог ВОМа'!$1:$6</definedName>
    <definedName name="_xlnm.Print_Area" localSheetId="0">'Каталог ВОМа'!$A$1:$I$6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5" i="2" l="1"/>
  <c r="B6" i="2" s="1"/>
</calcChain>
</file>

<file path=xl/sharedStrings.xml><?xml version="1.0" encoding="utf-8"?>
<sst xmlns="http://schemas.openxmlformats.org/spreadsheetml/2006/main" count="26" uniqueCount="22">
  <si>
    <t>Отдел</t>
  </si>
  <si>
    <t>Наименование</t>
  </si>
  <si>
    <t>Привязка к классификатору работ</t>
  </si>
  <si>
    <t>Специализация</t>
  </si>
  <si>
    <t>т</t>
  </si>
  <si>
    <t>ТМО</t>
  </si>
  <si>
    <t>Ед. изм.</t>
  </si>
  <si>
    <t>Вес ед, кг</t>
  </si>
  <si>
    <t>Примечание</t>
  </si>
  <si>
    <t>Оборудование тепломеханическое</t>
  </si>
  <si>
    <t xml:space="preserve">Энергетическая паротурбинная </t>
  </si>
  <si>
    <t xml:space="preserve">Энергетическая газотурбинная </t>
  </si>
  <si>
    <t>13.1</t>
  </si>
  <si>
    <t>Оборудование промышленное (в т.ч. комплектующие и расходные материалы)</t>
  </si>
  <si>
    <t>Оборудование турбинное</t>
  </si>
  <si>
    <t>Турбины в сборе</t>
  </si>
  <si>
    <t>1.1.2001</t>
  </si>
  <si>
    <t>1</t>
  </si>
  <si>
    <t>Уровень</t>
  </si>
  <si>
    <t>Код класса</t>
  </si>
  <si>
    <t>Дата отправки на согласование</t>
  </si>
  <si>
    <t>Замечание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</si>
</sst>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[$€-1]_-;\-* #,##0.00[$€-1]_-;_-* \-??[$€-1]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charset val="204"/>
      <scheme val="minor"/>
    </font>
    <font>
      <sz val="10"/>
      <name val="Arial Cyr"/>
      <charset val="204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/>
  </cellStyleXfs>
  <cellXfs count="14">
    <xf numFmtId="0" fontId="0" fillId="0" borderId="0" xfId="0"/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5" borderId="1" xfId="1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"/>
  <sheetViews>
    <sheetView tabSelected="1" zoomScale="70" zoomScaleNormal="70" workbookViewId="0">
      <pane xSplit="5" ySplit="1" topLeftCell="F2" activePane="bottomRight" state="frozen"/>
      <selection pane="topRight" activeCell="B1" sqref="B1"/>
      <selection pane="bottomLeft" activeCell="A2" sqref="A2"/>
      <selection pane="bottomRight" activeCell="K13" sqref="K13:K14"/>
    </sheetView>
  </sheetViews>
  <sheetFormatPr defaultColWidth="9.140625" defaultRowHeight="12.75" outlineLevelRow="4" x14ac:dyDescent="0.25"/>
  <cols>
    <col min="1" max="1" width="9.140625" style="1"/>
    <col min="2" max="2" width="14" style="1" customWidth="1"/>
    <col min="3" max="3" width="14.85546875" style="1" customWidth="1"/>
    <col min="4" max="4" width="11" style="1" customWidth="1"/>
    <col min="5" max="5" width="58.5703125" style="1" customWidth="1"/>
    <col min="6" max="8" width="9.140625" style="1" customWidth="1"/>
    <col min="9" max="9" width="26.5703125" style="1" customWidth="1"/>
    <col min="10" max="10" width="24.42578125" style="2" customWidth="1"/>
    <col min="11" max="11" width="28.28515625" style="2" customWidth="1"/>
    <col min="12" max="16384" width="9.140625" style="2"/>
  </cols>
  <sheetData>
    <row r="1" spans="1:11" ht="38.25" x14ac:dyDescent="0.25">
      <c r="A1" s="5" t="s">
        <v>18</v>
      </c>
      <c r="B1" s="5" t="s">
        <v>19</v>
      </c>
      <c r="C1" s="5" t="s">
        <v>3</v>
      </c>
      <c r="D1" s="5" t="s">
        <v>2</v>
      </c>
      <c r="E1" s="5" t="s">
        <v>1</v>
      </c>
      <c r="F1" s="5" t="s">
        <v>6</v>
      </c>
      <c r="G1" s="5" t="s">
        <v>7</v>
      </c>
      <c r="H1" s="5" t="s">
        <v>0</v>
      </c>
      <c r="I1" s="5" t="s">
        <v>8</v>
      </c>
      <c r="J1" s="5" t="s">
        <v>20</v>
      </c>
      <c r="K1" s="5" t="s">
        <v>21</v>
      </c>
    </row>
    <row r="2" spans="1:11" ht="25.5" outlineLevel="1" x14ac:dyDescent="0.25">
      <c r="A2" s="8">
        <v>1</v>
      </c>
      <c r="B2" s="8" t="s">
        <v>17</v>
      </c>
      <c r="C2" s="9"/>
      <c r="D2" s="8"/>
      <c r="E2" s="8" t="s">
        <v>13</v>
      </c>
      <c r="F2" s="9"/>
      <c r="G2" s="9"/>
      <c r="H2" s="9"/>
      <c r="I2" s="8"/>
    </row>
    <row r="3" spans="1:11" outlineLevel="2" x14ac:dyDescent="0.25">
      <c r="A3" s="6">
        <v>2</v>
      </c>
      <c r="B3" s="7" t="str">
        <f ca="1">IF(A3&gt;OFFSET(A3,-1,0),OFFSET(B3,-1,0)&amp;"."&amp;1,LEFT(OFFSET(B3,-1,0),SEARCH("^^",SUBSTITUTE("."&amp;OFFSET(B3,-1,0),".","^^",A3))-1)&amp;1--MID(OFFSET(B3,-1,0),SEARCH("^^",SUBSTITUTE("."&amp;OFFSET(B3,-1,0),".","^^",A3)),SEARCH("^^",SUBSTITUTE(OFFSET(B3,-1,0)&amp;".",".","^^",A3))-SEARCH("^^",SUBSTITUTE("."&amp;OFFSET(B3,-1,0),".","^^",A3))))</f>
        <v>1.1</v>
      </c>
      <c r="C3" s="4"/>
      <c r="D3" s="4"/>
      <c r="E3" s="4" t="s">
        <v>14</v>
      </c>
      <c r="F3" s="4"/>
      <c r="G3" s="4"/>
      <c r="H3" s="4"/>
      <c r="I3" s="6"/>
    </row>
    <row r="4" spans="1:11" outlineLevel="3" x14ac:dyDescent="0.25">
      <c r="A4" s="10">
        <v>3</v>
      </c>
      <c r="B4" s="10" t="s">
        <v>16</v>
      </c>
      <c r="C4" s="11"/>
      <c r="D4" s="10"/>
      <c r="E4" s="10" t="s">
        <v>15</v>
      </c>
      <c r="F4" s="11"/>
      <c r="G4" s="11"/>
      <c r="H4" s="11"/>
      <c r="I4" s="10"/>
    </row>
    <row r="5" spans="1:11" ht="38.25" outlineLevel="4" x14ac:dyDescent="0.25">
      <c r="A5" s="3">
        <v>4</v>
      </c>
      <c r="B5" s="13" t="str">
        <f t="shared" ref="B5:B6" ca="1" si="0">IF(A5&gt;OFFSET(A5,-1,0),OFFSET(B5,-1,0)&amp;"."&amp;1,LEFT(OFFSET(B5,-1,0),SEARCH("^^",SUBSTITUTE("."&amp;OFFSET(B5,-1,0),".","^^",A5))-1)&amp;1--MID(OFFSET(B5,-1,0),SEARCH("^^",SUBSTITUTE("."&amp;OFFSET(B5,-1,0),".","^^",A5)),SEARCH("^^",SUBSTITUTE(OFFSET(B5,-1,0)&amp;".",".","^^",A5))-SEARCH("^^",SUBSTITUTE("."&amp;OFFSET(B5,-1,0),".","^^",A5))))</f>
        <v>1.1.2001.1</v>
      </c>
      <c r="C5" s="3" t="s">
        <v>9</v>
      </c>
      <c r="D5" s="12" t="s">
        <v>12</v>
      </c>
      <c r="E5" s="12" t="s">
        <v>10</v>
      </c>
      <c r="F5" s="12" t="s">
        <v>4</v>
      </c>
      <c r="G5" s="3"/>
      <c r="H5" s="3" t="s">
        <v>5</v>
      </c>
      <c r="I5" s="3"/>
    </row>
    <row r="6" spans="1:11" ht="38.25" outlineLevel="4" x14ac:dyDescent="0.25">
      <c r="A6" s="3">
        <v>4</v>
      </c>
      <c r="B6" s="13" t="str">
        <f t="shared" ca="1" si="0"/>
        <v>1.1.2001.2</v>
      </c>
      <c r="C6" s="3" t="s">
        <v>9</v>
      </c>
      <c r="D6" s="12" t="s">
        <v>12</v>
      </c>
      <c r="E6" s="12" t="s">
        <v>11</v>
      </c>
      <c r="F6" s="12" t="s">
        <v>4</v>
      </c>
      <c r="G6" s="3"/>
      <c r="H6" s="3" t="s">
        <v>5</v>
      </c>
      <c r="I6" s="3"/>
    </row>
  </sheetData>
  <autoFilter ref="A1:I6" xr:uid="{E7676EEA-F9EF-43BA-9128-E98B1D4779A3}"/>
  <pageMargins left="0.70866141732283472" right="0.70866141732283472" top="0.74803149606299213" bottom="0.74803149606299213" header="0.31496062992125984" footer="0.31496062992125984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Каталог ВОМа</vt:lpstr>
      <vt:lpstr>'Каталог ВОМа'!Область_печати</vt:lpstr>
    </vt:vector>
  </TitlesOfParts>
  <Company>АО Институт Теплоэлектропроект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Лабинская Екатерина Юрьевна</dc:creator>
  <cp:lastModifiedBy>Кудрявцев Александр Викторович</cp:lastModifiedBy>
  <cp:lastPrinted>2025-12-25T12:23:22Z</cp:lastPrinted>
  <dcterms:created xsi:type="dcterms:W3CDTF">2024-12-06T06:02:28Z</dcterms:created>
  <dcterms:modified xsi:type="dcterms:W3CDTF">2026-02-01T08:44:53Z</dcterms:modified>
</cp:coreProperties>
</file>